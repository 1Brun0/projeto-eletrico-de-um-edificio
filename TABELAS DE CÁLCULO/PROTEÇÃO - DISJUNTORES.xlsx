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h\Desktop\Bruno\FACULDADE\TCC\GITHUB\TABELAS DE CÁLCULO\"/>
    </mc:Choice>
  </mc:AlternateContent>
  <xr:revisionPtr revIDLastSave="0" documentId="13_ncr:1_{22ED5A18-7271-4650-9D32-13D168781E63}" xr6:coauthVersionLast="47" xr6:coauthVersionMax="47" xr10:uidLastSave="{00000000-0000-0000-0000-000000000000}"/>
  <bookViews>
    <workbookView xWindow="-108" yWindow="-108" windowWidth="23256" windowHeight="12576" xr2:uid="{A7DF94CC-8B2F-4096-91C5-C17C287BFD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K12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</calcChain>
</file>

<file path=xl/sharedStrings.xml><?xml version="1.0" encoding="utf-8"?>
<sst xmlns="http://schemas.openxmlformats.org/spreadsheetml/2006/main" count="61" uniqueCount="21">
  <si>
    <t>Circuito</t>
  </si>
  <si>
    <t>Descrição</t>
  </si>
  <si>
    <t>I2</t>
  </si>
  <si>
    <t>IB ≤ IN ≤ IZ</t>
  </si>
  <si>
    <t>Método 1</t>
  </si>
  <si>
    <t>≤</t>
  </si>
  <si>
    <t>Método 2</t>
  </si>
  <si>
    <t xml:space="preserve"> IB (A)</t>
  </si>
  <si>
    <t>IN (A)</t>
  </si>
  <si>
    <t>IZ (A)</t>
  </si>
  <si>
    <t>I2 = 1,35 * IN</t>
  </si>
  <si>
    <t>I2 &lt; 1,45 * IZ</t>
  </si>
  <si>
    <t>Iluminação</t>
  </si>
  <si>
    <t>Chuveiro</t>
  </si>
  <si>
    <t>Tomadas Cozinha – Bancada</t>
  </si>
  <si>
    <t>Tomadas Cozinha – Parede</t>
  </si>
  <si>
    <t>Tomadas Quarto 2 e Banheiro</t>
  </si>
  <si>
    <t>Tomadas Quarto 1</t>
  </si>
  <si>
    <t>Tomadas Sala de Jantar</t>
  </si>
  <si>
    <t>Tomadas Sala TV e Varanda</t>
  </si>
  <si>
    <t>Ar-condicionado Quarto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</si>
</sst>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38A0-3928-4E82-BE0B-B48B4A2AAD3B}">
  <dimension ref="A1:M12"/>
  <sheetViews>
    <sheetView tabSelected="1" workbookViewId="0">
      <selection activeCell="N7" sqref="N7"/>
    </sheetView>
  </sheetViews>
  <sheetFormatPr defaultRowHeight="14.4" x14ac:dyDescent="0.3"/>
  <cols>
    <col min="2" max="2" width="18.77734375" customWidth="1"/>
    <col min="3" max="3" width="10.44140625" bestFit="1" customWidth="1"/>
    <col min="10" max="10" width="16.88671875" customWidth="1"/>
    <col min="11" max="11" width="19.88671875" customWidth="1"/>
    <col min="13" max="13" width="17.88671875" customWidth="1"/>
  </cols>
  <sheetData>
    <row r="1" spans="1:13" x14ac:dyDescent="0.3">
      <c r="A1" s="8" t="s">
        <v>0</v>
      </c>
      <c r="B1" s="8" t="s">
        <v>1</v>
      </c>
      <c r="C1" s="9" t="s">
        <v>3</v>
      </c>
      <c r="D1" s="9"/>
      <c r="E1" s="9"/>
      <c r="F1" s="9"/>
      <c r="G1" s="9"/>
      <c r="H1" s="1"/>
      <c r="I1" s="8" t="s">
        <v>0</v>
      </c>
      <c r="J1" s="8" t="s">
        <v>1</v>
      </c>
      <c r="K1" s="9" t="s">
        <v>2</v>
      </c>
      <c r="L1" s="9"/>
      <c r="M1" s="9"/>
    </row>
    <row r="2" spans="1:13" x14ac:dyDescent="0.3">
      <c r="A2" s="8"/>
      <c r="B2" s="8"/>
      <c r="C2" s="9"/>
      <c r="D2" s="9"/>
      <c r="E2" s="9"/>
      <c r="F2" s="9"/>
      <c r="G2" s="9"/>
      <c r="H2" s="1"/>
      <c r="I2" s="8"/>
      <c r="J2" s="8"/>
      <c r="K2" s="6" t="s">
        <v>4</v>
      </c>
      <c r="L2" s="10" t="s">
        <v>5</v>
      </c>
      <c r="M2" s="6" t="s">
        <v>6</v>
      </c>
    </row>
    <row r="3" spans="1:13" x14ac:dyDescent="0.3">
      <c r="A3" s="8"/>
      <c r="B3" s="8"/>
      <c r="C3" s="5" t="s">
        <v>7</v>
      </c>
      <c r="D3" s="7" t="s">
        <v>5</v>
      </c>
      <c r="E3" s="5" t="s">
        <v>8</v>
      </c>
      <c r="F3" s="7" t="s">
        <v>5</v>
      </c>
      <c r="G3" s="5" t="s">
        <v>9</v>
      </c>
      <c r="H3" s="1"/>
      <c r="I3" s="8"/>
      <c r="J3" s="8"/>
      <c r="K3" s="6" t="s">
        <v>10</v>
      </c>
      <c r="L3" s="11"/>
      <c r="M3" s="6" t="s">
        <v>11</v>
      </c>
    </row>
    <row r="4" spans="1:13" x14ac:dyDescent="0.3">
      <c r="A4" s="2">
        <v>1</v>
      </c>
      <c r="B4" s="2" t="s">
        <v>12</v>
      </c>
      <c r="C4" s="12">
        <v>1.1023622047244095</v>
      </c>
      <c r="D4" s="3" t="s">
        <v>5</v>
      </c>
      <c r="E4" s="2">
        <v>10</v>
      </c>
      <c r="F4" s="3" t="s">
        <v>5</v>
      </c>
      <c r="G4" s="4">
        <v>12.18</v>
      </c>
      <c r="H4" s="1"/>
      <c r="I4" s="2">
        <v>1</v>
      </c>
      <c r="J4" s="2" t="s">
        <v>12</v>
      </c>
      <c r="K4" s="4">
        <f t="shared" ref="K4:K12" si="0">1.35*E4</f>
        <v>13.5</v>
      </c>
      <c r="L4" s="3" t="s">
        <v>5</v>
      </c>
      <c r="M4" s="4">
        <f t="shared" ref="M4:M12" si="1">1.45*G4</f>
        <v>17.660999999999998</v>
      </c>
    </row>
    <row r="5" spans="1:13" x14ac:dyDescent="0.3">
      <c r="A5" s="2">
        <v>2</v>
      </c>
      <c r="B5" s="2" t="s">
        <v>13</v>
      </c>
      <c r="C5" s="12">
        <v>30.90909090909091</v>
      </c>
      <c r="D5" s="3" t="s">
        <v>5</v>
      </c>
      <c r="E5" s="2">
        <v>32</v>
      </c>
      <c r="F5" s="3" t="s">
        <v>5</v>
      </c>
      <c r="G5" s="4">
        <v>35.67</v>
      </c>
      <c r="H5" s="1"/>
      <c r="I5" s="2">
        <v>2</v>
      </c>
      <c r="J5" s="2" t="s">
        <v>13</v>
      </c>
      <c r="K5" s="4">
        <f t="shared" si="0"/>
        <v>43.2</v>
      </c>
      <c r="L5" s="3" t="s">
        <v>5</v>
      </c>
      <c r="M5" s="4">
        <f t="shared" si="1"/>
        <v>51.721499999999999</v>
      </c>
    </row>
    <row r="6" spans="1:13" ht="28.8" x14ac:dyDescent="0.3">
      <c r="A6" s="2">
        <v>3</v>
      </c>
      <c r="B6" s="2" t="s">
        <v>14</v>
      </c>
      <c r="C6" s="12">
        <v>9.4488188976377945</v>
      </c>
      <c r="D6" s="3" t="s">
        <v>5</v>
      </c>
      <c r="E6" s="2">
        <v>16</v>
      </c>
      <c r="F6" s="3" t="s">
        <v>5</v>
      </c>
      <c r="G6" s="4">
        <v>20.88</v>
      </c>
      <c r="H6" s="1"/>
      <c r="I6" s="2">
        <v>3</v>
      </c>
      <c r="J6" s="2" t="s">
        <v>14</v>
      </c>
      <c r="K6" s="4">
        <f t="shared" si="0"/>
        <v>21.6</v>
      </c>
      <c r="L6" s="3" t="s">
        <v>5</v>
      </c>
      <c r="M6" s="4">
        <f t="shared" si="1"/>
        <v>30.275999999999996</v>
      </c>
    </row>
    <row r="7" spans="1:13" ht="28.8" x14ac:dyDescent="0.3">
      <c r="A7" s="2">
        <v>4</v>
      </c>
      <c r="B7" s="2" t="s">
        <v>15</v>
      </c>
      <c r="C7" s="12">
        <v>4.7244094488188972</v>
      </c>
      <c r="D7" s="3" t="s">
        <v>5</v>
      </c>
      <c r="E7" s="2">
        <v>10</v>
      </c>
      <c r="F7" s="3" t="s">
        <v>5</v>
      </c>
      <c r="G7" s="4">
        <v>16.704000000000001</v>
      </c>
      <c r="H7" s="1"/>
      <c r="I7" s="2">
        <v>4</v>
      </c>
      <c r="J7" s="2" t="s">
        <v>15</v>
      </c>
      <c r="K7" s="4">
        <f t="shared" si="0"/>
        <v>13.5</v>
      </c>
      <c r="L7" s="3" t="s">
        <v>5</v>
      </c>
      <c r="M7" s="4">
        <f t="shared" si="1"/>
        <v>24.220800000000001</v>
      </c>
    </row>
    <row r="8" spans="1:13" ht="28.8" x14ac:dyDescent="0.3">
      <c r="A8" s="2">
        <v>5</v>
      </c>
      <c r="B8" s="2" t="s">
        <v>16</v>
      </c>
      <c r="C8" s="12">
        <v>11.811023622047244</v>
      </c>
      <c r="D8" s="3" t="s">
        <v>5</v>
      </c>
      <c r="E8" s="2">
        <v>16</v>
      </c>
      <c r="F8" s="3" t="s">
        <v>5</v>
      </c>
      <c r="G8" s="4">
        <v>20.88</v>
      </c>
      <c r="H8" s="1"/>
      <c r="I8" s="2">
        <v>5</v>
      </c>
      <c r="J8" s="2" t="s">
        <v>16</v>
      </c>
      <c r="K8" s="4">
        <f t="shared" si="0"/>
        <v>21.6</v>
      </c>
      <c r="L8" s="3" t="s">
        <v>5</v>
      </c>
      <c r="M8" s="4">
        <f t="shared" si="1"/>
        <v>30.275999999999996</v>
      </c>
    </row>
    <row r="9" spans="1:13" x14ac:dyDescent="0.3">
      <c r="A9" s="2">
        <v>6</v>
      </c>
      <c r="B9" s="2" t="s">
        <v>17</v>
      </c>
      <c r="C9" s="12">
        <v>2.3622047244094486</v>
      </c>
      <c r="D9" s="3" t="s">
        <v>5</v>
      </c>
      <c r="E9" s="2">
        <v>10</v>
      </c>
      <c r="F9" s="3" t="s">
        <v>5</v>
      </c>
      <c r="G9" s="4">
        <v>16.704000000000001</v>
      </c>
      <c r="H9" s="1"/>
      <c r="I9" s="2">
        <v>6</v>
      </c>
      <c r="J9" s="2" t="s">
        <v>17</v>
      </c>
      <c r="K9" s="4">
        <f t="shared" si="0"/>
        <v>13.5</v>
      </c>
      <c r="L9" s="3" t="s">
        <v>5</v>
      </c>
      <c r="M9" s="4">
        <f t="shared" si="1"/>
        <v>24.220800000000001</v>
      </c>
    </row>
    <row r="10" spans="1:13" ht="28.8" x14ac:dyDescent="0.3">
      <c r="A10" s="2">
        <v>7</v>
      </c>
      <c r="B10" s="2" t="s">
        <v>18</v>
      </c>
      <c r="C10" s="12">
        <v>2.3622047244094486</v>
      </c>
      <c r="D10" s="3" t="s">
        <v>5</v>
      </c>
      <c r="E10" s="2">
        <v>10</v>
      </c>
      <c r="F10" s="3" t="s">
        <v>5</v>
      </c>
      <c r="G10" s="4">
        <v>16.704000000000001</v>
      </c>
      <c r="H10" s="1"/>
      <c r="I10" s="2">
        <v>7</v>
      </c>
      <c r="J10" s="2" t="s">
        <v>18</v>
      </c>
      <c r="K10" s="4">
        <f t="shared" si="0"/>
        <v>13.5</v>
      </c>
      <c r="L10" s="3" t="s">
        <v>5</v>
      </c>
      <c r="M10" s="4">
        <f t="shared" si="1"/>
        <v>24.220800000000001</v>
      </c>
    </row>
    <row r="11" spans="1:13" ht="28.8" x14ac:dyDescent="0.3">
      <c r="A11" s="2">
        <v>8</v>
      </c>
      <c r="B11" s="2" t="s">
        <v>19</v>
      </c>
      <c r="C11" s="12">
        <v>9.4488188976377945</v>
      </c>
      <c r="D11" s="3" t="s">
        <v>5</v>
      </c>
      <c r="E11" s="2">
        <v>16</v>
      </c>
      <c r="F11" s="3" t="s">
        <v>5</v>
      </c>
      <c r="G11" s="4">
        <v>20.88</v>
      </c>
      <c r="H11" s="1"/>
      <c r="I11" s="2">
        <v>8</v>
      </c>
      <c r="J11" s="2" t="s">
        <v>19</v>
      </c>
      <c r="K11" s="4">
        <f t="shared" si="0"/>
        <v>21.6</v>
      </c>
      <c r="L11" s="3" t="s">
        <v>5</v>
      </c>
      <c r="M11" s="4">
        <f t="shared" si="1"/>
        <v>30.275999999999996</v>
      </c>
    </row>
    <row r="12" spans="1:13" ht="28.8" x14ac:dyDescent="0.3">
      <c r="A12" s="2">
        <v>9</v>
      </c>
      <c r="B12" s="2" t="s">
        <v>20</v>
      </c>
      <c r="C12" s="12">
        <v>4.5454545454545459</v>
      </c>
      <c r="D12" s="3" t="s">
        <v>5</v>
      </c>
      <c r="E12" s="2">
        <v>10</v>
      </c>
      <c r="F12" s="3" t="s">
        <v>5</v>
      </c>
      <c r="G12" s="4">
        <v>20.88</v>
      </c>
      <c r="H12" s="1"/>
      <c r="I12" s="2">
        <v>9</v>
      </c>
      <c r="J12" s="2" t="s">
        <v>20</v>
      </c>
      <c r="K12" s="4">
        <f t="shared" si="0"/>
        <v>13.5</v>
      </c>
      <c r="L12" s="3" t="s">
        <v>5</v>
      </c>
      <c r="M12" s="4">
        <f t="shared" si="1"/>
        <v>30.275999999999996</v>
      </c>
    </row>
  </sheetData>
  <mergeCells count="7">
    <mergeCell ref="K1:M1"/>
    <mergeCell ref="L2:L3"/>
    <mergeCell ref="B1:B3"/>
    <mergeCell ref="A1:A3"/>
    <mergeCell ref="C1:G2"/>
    <mergeCell ref="I1:I3"/>
    <mergeCell ref="J1:J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Oliveira</dc:creator>
  <cp:lastModifiedBy>Bruno Oliveira</cp:lastModifiedBy>
  <dcterms:created xsi:type="dcterms:W3CDTF">2025-07-28T23:31:00Z</dcterms:created>
  <dcterms:modified xsi:type="dcterms:W3CDTF">2025-12-01T22:14:37Z</dcterms:modified>
</cp:coreProperties>
</file>